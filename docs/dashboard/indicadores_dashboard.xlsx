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távia\Downloads\"/>
    </mc:Choice>
  </mc:AlternateContent>
  <xr:revisionPtr revIDLastSave="0" documentId="13_ncr:1_{B3607A29-AA3A-4420-A0D6-F467D8B634FC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shboard" sheetId="1" r:id="rId1"/>
    <sheet name="Top_Regioes" sheetId="2" r:id="rId2"/>
    <sheet name="Leads_Prioritarios" sheetId="3" r:id="rId3"/>
    <sheet name="Agendamentos" sheetId="4" r:id="rId4"/>
    <sheet name="Distribuicoes" sheetId="5" r:id="rId5"/>
    <sheet name="Guia_Validacao" sheetId="6" r:id="rId6"/>
    <sheet name="Aderencia_Desafio" sheetId="7" r:id="rId7"/>
    <sheet name="Integridade_Dados" sheetId="8" r:id="rId8"/>
  </sheets>
  <calcPr calcId="0"/>
</workbook>
</file>

<file path=xl/sharedStrings.xml><?xml version="1.0" encoding="utf-8"?>
<sst xmlns="http://schemas.openxmlformats.org/spreadsheetml/2006/main" count="372" uniqueCount="209">
  <si>
    <t>INDICADORES DE REFERÊNCIA — AGENTE SDR IMOBILIÁRIO</t>
  </si>
  <si>
    <t>Indicador</t>
  </si>
  <si>
    <t>Valor</t>
  </si>
  <si>
    <t>Observação</t>
  </si>
  <si>
    <t>Classificação</t>
  </si>
  <si>
    <t>Quantidade</t>
  </si>
  <si>
    <t>Intenção</t>
  </si>
  <si>
    <t>Total de leads</t>
  </si>
  <si>
    <t>Registros de leads.csv</t>
  </si>
  <si>
    <t>Quente</t>
  </si>
  <si>
    <t>Compra</t>
  </si>
  <si>
    <t>Leads Quentes</t>
  </si>
  <si>
    <t>Classificação 70–100</t>
  </si>
  <si>
    <t>Morno</t>
  </si>
  <si>
    <t>Aluguel</t>
  </si>
  <si>
    <t>Leads Mornos</t>
  </si>
  <si>
    <t>Classificação 40–69</t>
  </si>
  <si>
    <t>Frio</t>
  </si>
  <si>
    <t>Investimento</t>
  </si>
  <si>
    <t>Leads Frios</t>
  </si>
  <si>
    <t>Classificação 0–39</t>
  </si>
  <si>
    <t>Não definida</t>
  </si>
  <si>
    <t>Agendamentos</t>
  </si>
  <si>
    <t>Registros de agendamentos.csv</t>
  </si>
  <si>
    <t>Aceitaram visita/reunião</t>
  </si>
  <si>
    <t>Campo aceitou_visita_reuniao</t>
  </si>
  <si>
    <t>Leads com follow-up</t>
  </si>
  <si>
    <t>quantidade_followups &gt; 0</t>
  </si>
  <si>
    <t>Follow-ups realizados</t>
  </si>
  <si>
    <t>Soma de quantidade_followups</t>
  </si>
  <si>
    <t>Responderam follow-up</t>
  </si>
  <si>
    <t>Campo respondeu_followup</t>
  </si>
  <si>
    <t>Score médio</t>
  </si>
  <si>
    <t>Média da coluna score</t>
  </si>
  <si>
    <t>Total de imóveis</t>
  </si>
  <si>
    <t>Registros de imoveis.csv</t>
  </si>
  <si>
    <t>Imóveis disponíveis</t>
  </si>
  <si>
    <t>Campo disponivel</t>
  </si>
  <si>
    <t>Interações históricas</t>
  </si>
  <si>
    <t>Registros de interacoes.csv</t>
  </si>
  <si>
    <t>Bairro/Região</t>
  </si>
  <si>
    <t>Leads</t>
  </si>
  <si>
    <t>Perdizes</t>
  </si>
  <si>
    <t>Jabaquara</t>
  </si>
  <si>
    <t>Alto de Pinheiros</t>
  </si>
  <si>
    <t>Morumbi</t>
  </si>
  <si>
    <t>Penha</t>
  </si>
  <si>
    <t>Carrão</t>
  </si>
  <si>
    <t>Liberdade</t>
  </si>
  <si>
    <t>Lapa</t>
  </si>
  <si>
    <t>Chácara Santo Antônio</t>
  </si>
  <si>
    <t>Campo Belo</t>
  </si>
  <si>
    <t>id_lead</t>
  </si>
  <si>
    <t>nome</t>
  </si>
  <si>
    <t>intencao</t>
  </si>
  <si>
    <t>score</t>
  </si>
  <si>
    <t>classificacao</t>
  </si>
  <si>
    <t>urgencia</t>
  </si>
  <si>
    <t>regiao_bairro</t>
  </si>
  <si>
    <t>orcamento_ticket</t>
  </si>
  <si>
    <t>status</t>
  </si>
  <si>
    <t>proximo_followup</t>
  </si>
  <si>
    <t>aceitou_visita_reuniao</t>
  </si>
  <si>
    <t>LED0001</t>
  </si>
  <si>
    <t>Lucas Nunes</t>
  </si>
  <si>
    <t>Alta</t>
  </si>
  <si>
    <t>Saúde</t>
  </si>
  <si>
    <t>Encaminhado ao corretor</t>
  </si>
  <si>
    <t>Sim</t>
  </si>
  <si>
    <t>LED0060</t>
  </si>
  <si>
    <t>Felipe Rocha</t>
  </si>
  <si>
    <t>Santa Cecília</t>
  </si>
  <si>
    <t>Visita agendada</t>
  </si>
  <si>
    <t>LED0142</t>
  </si>
  <si>
    <t>Elaine Braga</t>
  </si>
  <si>
    <t>LED0145</t>
  </si>
  <si>
    <t>Samuel Batista</t>
  </si>
  <si>
    <t>Jaguaré</t>
  </si>
  <si>
    <t>Qualificado</t>
  </si>
  <si>
    <t>LED0175</t>
  </si>
  <si>
    <t>Hugo Silveira</t>
  </si>
  <si>
    <t>Reunião agendada</t>
  </si>
  <si>
    <t>LED0244</t>
  </si>
  <si>
    <t>Gustavo Cardoso</t>
  </si>
  <si>
    <t>Pinheiros</t>
  </si>
  <si>
    <t>LED0267</t>
  </si>
  <si>
    <t>Sabrina Freitas</t>
  </si>
  <si>
    <t>Moema</t>
  </si>
  <si>
    <t>Encaminhado ao especialista</t>
  </si>
  <si>
    <t>LED0291</t>
  </si>
  <si>
    <t>LED0296</t>
  </si>
  <si>
    <t>João Mendes</t>
  </si>
  <si>
    <t>Casa Verde</t>
  </si>
  <si>
    <t>LED0307</t>
  </si>
  <si>
    <t>Gabriela Martins</t>
  </si>
  <si>
    <t>Butantã</t>
  </si>
  <si>
    <t>LED0312</t>
  </si>
  <si>
    <t>Helena Teixeira</t>
  </si>
  <si>
    <t>LED0313</t>
  </si>
  <si>
    <t>Larissa Peixoto</t>
  </si>
  <si>
    <t>LED0357</t>
  </si>
  <si>
    <t>Carla Ribeiro</t>
  </si>
  <si>
    <t>Bela Vista</t>
  </si>
  <si>
    <t>LED0408</t>
  </si>
  <si>
    <t>Patrícia Duarte</t>
  </si>
  <si>
    <t>Mandaqui</t>
  </si>
  <si>
    <t>LED0429</t>
  </si>
  <si>
    <t>República</t>
  </si>
  <si>
    <t>LED0517</t>
  </si>
  <si>
    <t>Vanessa Lopes</t>
  </si>
  <si>
    <t>Mooca</t>
  </si>
  <si>
    <t>LED0561</t>
  </si>
  <si>
    <t>LED0568</t>
  </si>
  <si>
    <t>Nicolas Gomes</t>
  </si>
  <si>
    <t>LED0093</t>
  </si>
  <si>
    <t>Débora Ramos</t>
  </si>
  <si>
    <t>Média</t>
  </si>
  <si>
    <t>Pompeia</t>
  </si>
  <si>
    <t>LED0097</t>
  </si>
  <si>
    <t>Eduarda Lima</t>
  </si>
  <si>
    <t>Vila Prudente</t>
  </si>
  <si>
    <t>LED0109</t>
  </si>
  <si>
    <t>LED0123</t>
  </si>
  <si>
    <t>Tatiane Rezende</t>
  </si>
  <si>
    <t>LED0432</t>
  </si>
  <si>
    <t>Vila Madalena</t>
  </si>
  <si>
    <t>LED0522</t>
  </si>
  <si>
    <t>Igor Araújo</t>
  </si>
  <si>
    <t>LED0565</t>
  </si>
  <si>
    <t>Breno Campos</t>
  </si>
  <si>
    <t>Status</t>
  </si>
  <si>
    <t>Tipo</t>
  </si>
  <si>
    <t>Agendado</t>
  </si>
  <si>
    <t>Visita ao imóvel</t>
  </si>
  <si>
    <t>Confirmado</t>
  </si>
  <si>
    <t>Reunião com especialista</t>
  </si>
  <si>
    <t>Realizado</t>
  </si>
  <si>
    <t>Cancelado</t>
  </si>
  <si>
    <t>Urgência</t>
  </si>
  <si>
    <t>Baixa</t>
  </si>
  <si>
    <t>Canal</t>
  </si>
  <si>
    <t>WhatsApp</t>
  </si>
  <si>
    <t>Portal imobiliário</t>
  </si>
  <si>
    <t>Site</t>
  </si>
  <si>
    <t>Indicação</t>
  </si>
  <si>
    <t>Instagram</t>
  </si>
  <si>
    <t>Status do Lead</t>
  </si>
  <si>
    <t>Em qualificação</t>
  </si>
  <si>
    <t>Follow-up</t>
  </si>
  <si>
    <t>Novo</t>
  </si>
  <si>
    <t>Sem contato</t>
  </si>
  <si>
    <t>Tipo de Imóvel de Interesse</t>
  </si>
  <si>
    <t>Casa</t>
  </si>
  <si>
    <t>Cobertura</t>
  </si>
  <si>
    <t>Studio</t>
  </si>
  <si>
    <t>Apartamento</t>
  </si>
  <si>
    <t>Regra de conferência</t>
  </si>
  <si>
    <t>Deve ser 600 com a base atual.</t>
  </si>
  <si>
    <t>Quente + Morno + Frio deve ser igual ao total de leads classificados.</t>
  </si>
  <si>
    <t>Soma das intenções deve ser igual ao total de leads.</t>
  </si>
  <si>
    <t>Deve ser 183 com a base atual.</t>
  </si>
  <si>
    <t>Interações</t>
  </si>
  <si>
    <t>Deve ser 2088 com a base atual.</t>
  </si>
  <si>
    <t>Leads prioritários</t>
  </si>
  <si>
    <t>Ordenar Quentes por maior score.</t>
  </si>
  <si>
    <t>Lead sem perfil ou retorno esperado não pode ser Quente.</t>
  </si>
  <si>
    <t>Imóveis</t>
  </si>
  <si>
    <t>Não apresentar registros inexistentes em imoveis.csv.</t>
  </si>
  <si>
    <t>Manter contexto e não repetir informações já conhecidas.</t>
  </si>
  <si>
    <t>Requisito do desafio</t>
  </si>
  <si>
    <t>Como a entrega do Rúben apoia</t>
  </si>
  <si>
    <t>Situação nesta etapa</t>
  </si>
  <si>
    <t>Qualificação de leads</t>
  </si>
  <si>
    <t>Base de leads estruturada, score, classificação e indicadores de priorização.</t>
  </si>
  <si>
    <t>Preparado; implementação deve consumir as regras.</t>
  </si>
  <si>
    <t>Compra, aluguel e investimento</t>
  </si>
  <si>
    <t>Campos de intenção e atributos específicos para os três cenários.</t>
  </si>
  <si>
    <t>Preparado nas bases.</t>
  </si>
  <si>
    <t>Follow-up automático</t>
  </si>
  <si>
    <t>Campos e indicadores de acompanhamento e resposta a follow-up.</t>
  </si>
  <si>
    <t>Dados preparados; automação depende da aplicação.</t>
  </si>
  <si>
    <t>Agendamento de reuniões/visitas</t>
  </si>
  <si>
    <t>Base de agendamentos e indicadores por tipo/status.</t>
  </si>
  <si>
    <t>Dados preparados; fluxo funcional depende da aplicação.</t>
  </si>
  <si>
    <t>Base simulada de imóveis</t>
  </si>
  <si>
    <t>500 imóveis sintéticos documentados para consulta do agente.</t>
  </si>
  <si>
    <t>Preparado.</t>
  </si>
  <si>
    <t>Continuidade da conversa</t>
  </si>
  <si>
    <t>2.088 interações sintéticas vinculadas aos leads.</t>
  </si>
  <si>
    <t>Dados preparados; memória depende da aplicação.</t>
  </si>
  <si>
    <t>Resumo inteligente</t>
  </si>
  <si>
    <t>Bases fornecem intenção, preferências, urgência, score, status e histórico.</t>
  </si>
  <si>
    <t>Insumos preparados; geração depende da IA.</t>
  </si>
  <si>
    <t>Dashboard mínimo de acompanhamento</t>
  </si>
  <si>
    <t>Especificação, KPIs, gráficos e referências de validação.</t>
  </si>
  <si>
    <t>Especificado; implementação final ainda necessária.</t>
  </si>
  <si>
    <t>Validação</t>
  </si>
  <si>
    <t>Esperado</t>
  </si>
  <si>
    <t>Encontrado</t>
  </si>
  <si>
    <t>IDs de leads únicos</t>
  </si>
  <si>
    <t>OK</t>
  </si>
  <si>
    <t>IDs de imóveis únicos</t>
  </si>
  <si>
    <t>IDs de agendamentos únicos</t>
  </si>
  <si>
    <t>IDs de interações únicos</t>
  </si>
  <si>
    <t>Agendamentos com lead válido</t>
  </si>
  <si>
    <t>Agendamentos com imóvel válido quando informado</t>
  </si>
  <si>
    <t>Interações com lead válido</t>
  </si>
  <si>
    <t>Leads que aceitaram visita/reunião com agendamento</t>
  </si>
  <si>
    <t>Investidores Quentes sem perfil/retorno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</si>
</sst>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2" fillId="5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horizontal="center"/>
    </xf>
    <xf numFmtId="0" fontId="4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9.9978637043366805E-2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Classificação dos Leads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Dashboard!$E$4:$E$6</c:f>
              <c:strCache>
                <c:ptCount val="3"/>
                <c:pt idx="0">
                  <c:v>Quente</c:v>
                </c:pt>
                <c:pt idx="1">
                  <c:v>Morno</c:v>
                </c:pt>
                <c:pt idx="2">
                  <c:v>Frio</c:v>
                </c:pt>
              </c:strCache>
            </c:strRef>
          </c:cat>
          <c:val>
            <c:numRef>
              <c:f>Dashboard!$F$4:$F$6</c:f>
              <c:numCache>
                <c:formatCode>General</c:formatCode>
                <c:ptCount val="3"/>
                <c:pt idx="0">
                  <c:v>331</c:v>
                </c:pt>
                <c:pt idx="1">
                  <c:v>220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0-418A-A075-BAD0C535B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Intenção dos Leads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Dashboard!$H$4:$H$7</c:f>
              <c:strCache>
                <c:ptCount val="4"/>
                <c:pt idx="0">
                  <c:v>Compra</c:v>
                </c:pt>
                <c:pt idx="1">
                  <c:v>Aluguel</c:v>
                </c:pt>
                <c:pt idx="2">
                  <c:v>Investimento</c:v>
                </c:pt>
                <c:pt idx="3">
                  <c:v>Não definida</c:v>
                </c:pt>
              </c:strCache>
            </c:strRef>
          </c:cat>
          <c:val>
            <c:numRef>
              <c:f>Dashboard!$I$4:$I$7</c:f>
              <c:numCache>
                <c:formatCode>General</c:formatCode>
                <c:ptCount val="4"/>
                <c:pt idx="0">
                  <c:v>274</c:v>
                </c:pt>
                <c:pt idx="1">
                  <c:v>172</c:v>
                </c:pt>
                <c:pt idx="2">
                  <c:v>111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D-47D3-AD2C-49C8382AD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Top 10 Regiões/Bairros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Top_Regioes!$A$2:$A$11</c:f>
              <c:strCache>
                <c:ptCount val="10"/>
                <c:pt idx="0">
                  <c:v>Perdizes</c:v>
                </c:pt>
                <c:pt idx="1">
                  <c:v>Jabaquara</c:v>
                </c:pt>
                <c:pt idx="2">
                  <c:v>Alto de Pinheiros</c:v>
                </c:pt>
                <c:pt idx="3">
                  <c:v>Morumbi</c:v>
                </c:pt>
                <c:pt idx="4">
                  <c:v>Penha</c:v>
                </c:pt>
                <c:pt idx="5">
                  <c:v>Carrão</c:v>
                </c:pt>
                <c:pt idx="6">
                  <c:v>Liberdade</c:v>
                </c:pt>
                <c:pt idx="7">
                  <c:v>Lapa</c:v>
                </c:pt>
                <c:pt idx="8">
                  <c:v>Chácara Santo Antônio</c:v>
                </c:pt>
                <c:pt idx="9">
                  <c:v>Campo Belo</c:v>
                </c:pt>
              </c:strCache>
            </c:strRef>
          </c:cat>
          <c:val>
            <c:numRef>
              <c:f>Top_Regioes!$B$2:$B$11</c:f>
              <c:numCache>
                <c:formatCode>General</c:formatCode>
                <c:ptCount val="10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6-40D1-A976-ED0968AC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Agendamentos por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Agendamentos!$A$2:$A$5</c:f>
              <c:strCache>
                <c:ptCount val="4"/>
                <c:pt idx="0">
                  <c:v>Agendado</c:v>
                </c:pt>
                <c:pt idx="1">
                  <c:v>Confirmado</c:v>
                </c:pt>
                <c:pt idx="2">
                  <c:v>Realizado</c:v>
                </c:pt>
                <c:pt idx="3">
                  <c:v>Cancelado</c:v>
                </c:pt>
              </c:strCache>
            </c:strRef>
          </c:cat>
          <c:val>
            <c:numRef>
              <c:f>Agendamentos!$B$2:$B$5</c:f>
              <c:numCache>
                <c:formatCode>General</c:formatCode>
                <c:ptCount val="4"/>
                <c:pt idx="0">
                  <c:v>81</c:v>
                </c:pt>
                <c:pt idx="1">
                  <c:v>57</c:v>
                </c:pt>
                <c:pt idx="2">
                  <c:v>23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9-457F-A1D8-45962AA99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Agendamentos por Tipo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Agendamentos!$D$2:$D$3</c:f>
              <c:strCache>
                <c:ptCount val="2"/>
                <c:pt idx="0">
                  <c:v>Visita ao imóvel</c:v>
                </c:pt>
                <c:pt idx="1">
                  <c:v>Reunião com especialista</c:v>
                </c:pt>
              </c:strCache>
            </c:strRef>
          </c:cat>
          <c:val>
            <c:numRef>
              <c:f>Agendamentos!$E$2:$E$3</c:f>
              <c:numCache>
                <c:formatCode>General</c:formatCode>
                <c:ptCount val="2"/>
                <c:pt idx="0">
                  <c:v>151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4-417C-A2B0-EC8FAE43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KPIs" displayName="TabelaKPIs" ref="A3:C16" totalsRowShown="0" headerRowDxfId="7">
  <tableColumns count="3">
    <tableColumn id="1" xr3:uid="{00000000-0010-0000-0000-000001000000}" name="Indicador"/>
    <tableColumn id="2" xr3:uid="{00000000-0010-0000-0000-000002000000}" name="Valor"/>
    <tableColumn id="3" xr3:uid="{00000000-0010-0000-0000-000003000000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TopRegioes" displayName="TabelaTopRegioes" ref="A1:B11" totalsRowShown="0" headerRowDxfId="0">
  <tableColumns count="2">
    <tableColumn id="1" xr3:uid="{00000000-0010-0000-0100-000001000000}" name="Bairro/Região"/>
    <tableColumn id="2" xr3:uid="{00000000-0010-0000-0100-000002000000}" name="Lea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LeadsPrioritarios" displayName="TabelaLeadsPrioritarios" ref="A1:K26" totalsRowShown="0" headerRowDxfId="1">
  <tableColumns count="11">
    <tableColumn id="1" xr3:uid="{00000000-0010-0000-0200-000001000000}" name="id_lead"/>
    <tableColumn id="2" xr3:uid="{00000000-0010-0000-0200-000002000000}" name="nome"/>
    <tableColumn id="3" xr3:uid="{00000000-0010-0000-0200-000003000000}" name="intencao"/>
    <tableColumn id="4" xr3:uid="{00000000-0010-0000-0200-000004000000}" name="score"/>
    <tableColumn id="5" xr3:uid="{00000000-0010-0000-0200-000005000000}" name="classificacao"/>
    <tableColumn id="6" xr3:uid="{00000000-0010-0000-0200-000006000000}" name="urgencia"/>
    <tableColumn id="7" xr3:uid="{00000000-0010-0000-0200-000007000000}" name="regiao_bairro"/>
    <tableColumn id="8" xr3:uid="{00000000-0010-0000-0200-000008000000}" name="orcamento_ticket"/>
    <tableColumn id="9" xr3:uid="{00000000-0010-0000-0200-000009000000}" name="status"/>
    <tableColumn id="10" xr3:uid="{00000000-0010-0000-0200-00000A000000}" name="proximo_followup"/>
    <tableColumn id="11" xr3:uid="{00000000-0010-0000-0200-00000B000000}" name="aceitou_visita_reuni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AderenciaDesafio" displayName="TabelaAderenciaDesafio" ref="A1:C9" totalsRowShown="0" headerRowDxfId="2">
  <tableColumns count="3">
    <tableColumn id="1" xr3:uid="{00000000-0010-0000-0300-000001000000}" name="Requisito do desafio"/>
    <tableColumn id="2" xr3:uid="{00000000-0010-0000-0300-000002000000}" name="Como a entrega do Rúben apoia"/>
    <tableColumn id="3" xr3:uid="{00000000-0010-0000-0300-000003000000}" name="Situação nesta etap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IntegridadeDados" displayName="TabelaIntegridadeDados" ref="A1:D10" totalsRowShown="0" headerRowDxfId="3">
  <tableColumns count="4">
    <tableColumn id="1" xr3:uid="{00000000-0010-0000-0400-000001000000}" name="Validação"/>
    <tableColumn id="2" xr3:uid="{00000000-0010-0000-0400-000002000000}" name="Esperado" dataDxfId="6"/>
    <tableColumn id="3" xr3:uid="{00000000-0010-0000-0400-000003000000}" name="Encontrado" dataDxfId="4"/>
    <tableColumn id="4" xr3:uid="{00000000-0010-0000-0400-000004000000}" name="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>
      <selection activeCell="H31" sqref="H31"/>
    </sheetView>
  </sheetViews>
  <sheetFormatPr defaultRowHeight="14.25"/>
  <cols>
    <col min="1" max="1" width="28" customWidth="1"/>
    <col min="2" max="2" width="16" customWidth="1"/>
    <col min="3" max="3" width="34" customWidth="1"/>
    <col min="5" max="9" width="18" customWidth="1"/>
  </cols>
  <sheetData>
    <row r="1" spans="1:26" ht="19.5">
      <c r="A1" s="4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5">
      <c r="A3" s="9" t="s">
        <v>1</v>
      </c>
      <c r="B3" s="9" t="s">
        <v>2</v>
      </c>
      <c r="C3" s="9" t="s">
        <v>3</v>
      </c>
      <c r="E3" s="15" t="s">
        <v>4</v>
      </c>
      <c r="F3" s="15" t="s">
        <v>5</v>
      </c>
      <c r="H3" s="15" t="s">
        <v>6</v>
      </c>
      <c r="I3" s="15" t="s">
        <v>5</v>
      </c>
    </row>
    <row r="4" spans="1:26">
      <c r="A4" t="s">
        <v>7</v>
      </c>
      <c r="B4">
        <v>600</v>
      </c>
      <c r="C4" t="s">
        <v>8</v>
      </c>
      <c r="E4" t="s">
        <v>9</v>
      </c>
      <c r="F4">
        <v>331</v>
      </c>
      <c r="H4" t="s">
        <v>10</v>
      </c>
      <c r="I4">
        <v>274</v>
      </c>
    </row>
    <row r="5" spans="1:26">
      <c r="A5" t="s">
        <v>11</v>
      </c>
      <c r="B5">
        <v>331</v>
      </c>
      <c r="C5" t="s">
        <v>12</v>
      </c>
      <c r="E5" t="s">
        <v>13</v>
      </c>
      <c r="F5">
        <v>220</v>
      </c>
      <c r="H5" t="s">
        <v>14</v>
      </c>
      <c r="I5">
        <v>172</v>
      </c>
    </row>
    <row r="6" spans="1:26">
      <c r="A6" t="s">
        <v>15</v>
      </c>
      <c r="B6">
        <v>220</v>
      </c>
      <c r="C6" t="s">
        <v>16</v>
      </c>
      <c r="E6" t="s">
        <v>17</v>
      </c>
      <c r="F6">
        <v>49</v>
      </c>
      <c r="H6" t="s">
        <v>18</v>
      </c>
      <c r="I6">
        <v>111</v>
      </c>
    </row>
    <row r="7" spans="1:26">
      <c r="A7" t="s">
        <v>19</v>
      </c>
      <c r="B7">
        <v>49</v>
      </c>
      <c r="C7" t="s">
        <v>20</v>
      </c>
      <c r="H7" t="s">
        <v>21</v>
      </c>
      <c r="I7">
        <v>43</v>
      </c>
    </row>
    <row r="8" spans="1:26">
      <c r="A8" t="s">
        <v>22</v>
      </c>
      <c r="B8">
        <v>183</v>
      </c>
      <c r="C8" t="s">
        <v>23</v>
      </c>
    </row>
    <row r="9" spans="1:26">
      <c r="A9" t="s">
        <v>24</v>
      </c>
      <c r="B9">
        <v>183</v>
      </c>
      <c r="C9" t="s">
        <v>25</v>
      </c>
    </row>
    <row r="10" spans="1:26">
      <c r="A10" t="s">
        <v>26</v>
      </c>
      <c r="B10">
        <v>311</v>
      </c>
      <c r="C10" t="s">
        <v>27</v>
      </c>
    </row>
    <row r="11" spans="1:26">
      <c r="A11" t="s">
        <v>28</v>
      </c>
      <c r="B11">
        <v>804</v>
      </c>
      <c r="C11" t="s">
        <v>29</v>
      </c>
    </row>
    <row r="12" spans="1:26">
      <c r="A12" t="s">
        <v>30</v>
      </c>
      <c r="B12">
        <v>175</v>
      </c>
      <c r="C12" t="s">
        <v>31</v>
      </c>
    </row>
    <row r="13" spans="1:26">
      <c r="A13" t="s">
        <v>32</v>
      </c>
      <c r="B13">
        <v>67.599999999999994</v>
      </c>
      <c r="C13" t="s">
        <v>33</v>
      </c>
    </row>
    <row r="14" spans="1:26">
      <c r="A14" t="s">
        <v>34</v>
      </c>
      <c r="B14">
        <v>500</v>
      </c>
      <c r="C14" t="s">
        <v>35</v>
      </c>
    </row>
    <row r="15" spans="1:26">
      <c r="A15" t="s">
        <v>36</v>
      </c>
      <c r="B15">
        <v>452</v>
      </c>
      <c r="C15" t="s">
        <v>37</v>
      </c>
    </row>
    <row r="16" spans="1:26">
      <c r="A16" t="s">
        <v>38</v>
      </c>
      <c r="B16">
        <v>2088</v>
      </c>
      <c r="C16" t="s">
        <v>39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>
      <selection activeCell="B1" sqref="A1:B1"/>
    </sheetView>
  </sheetViews>
  <sheetFormatPr defaultRowHeight="14.25"/>
  <cols>
    <col min="1" max="1" width="28" customWidth="1"/>
    <col min="2" max="2" width="12" customWidth="1"/>
  </cols>
  <sheetData>
    <row r="1" spans="1:26" ht="15">
      <c r="A1" s="13" t="s">
        <v>40</v>
      </c>
      <c r="B1" s="13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42</v>
      </c>
      <c r="B2">
        <v>19</v>
      </c>
    </row>
    <row r="3" spans="1:26">
      <c r="A3" t="s">
        <v>43</v>
      </c>
      <c r="B3">
        <v>19</v>
      </c>
    </row>
    <row r="4" spans="1:26">
      <c r="A4" t="s">
        <v>44</v>
      </c>
      <c r="B4">
        <v>19</v>
      </c>
    </row>
    <row r="5" spans="1:26">
      <c r="A5" t="s">
        <v>45</v>
      </c>
      <c r="B5">
        <v>18</v>
      </c>
    </row>
    <row r="6" spans="1:26">
      <c r="A6" t="s">
        <v>46</v>
      </c>
      <c r="B6">
        <v>18</v>
      </c>
    </row>
    <row r="7" spans="1:26">
      <c r="A7" t="s">
        <v>47</v>
      </c>
      <c r="B7">
        <v>18</v>
      </c>
    </row>
    <row r="8" spans="1:26">
      <c r="A8" t="s">
        <v>48</v>
      </c>
      <c r="B8">
        <v>18</v>
      </c>
    </row>
    <row r="9" spans="1:26">
      <c r="A9" t="s">
        <v>49</v>
      </c>
      <c r="B9">
        <v>18</v>
      </c>
    </row>
    <row r="10" spans="1:26">
      <c r="A10" t="s">
        <v>50</v>
      </c>
      <c r="B10">
        <v>18</v>
      </c>
    </row>
    <row r="11" spans="1:26">
      <c r="A11" t="s">
        <v>51</v>
      </c>
      <c r="B11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"/>
  <sheetViews>
    <sheetView workbookViewId="0">
      <selection activeCell="K1" sqref="A1:K1"/>
    </sheetView>
  </sheetViews>
  <sheetFormatPr defaultRowHeight="14.25"/>
  <cols>
    <col min="1" max="1" width="18" customWidth="1"/>
    <col min="2" max="2" width="24" customWidth="1"/>
    <col min="3" max="6" width="18" customWidth="1"/>
    <col min="7" max="7" width="24" customWidth="1"/>
    <col min="8" max="10" width="18" customWidth="1"/>
    <col min="11" max="11" width="23.75" customWidth="1"/>
  </cols>
  <sheetData>
    <row r="1" spans="1:26" ht="15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63</v>
      </c>
      <c r="B2" t="s">
        <v>64</v>
      </c>
      <c r="C2" t="s">
        <v>10</v>
      </c>
      <c r="D2" s="1">
        <v>100</v>
      </c>
      <c r="E2" t="s">
        <v>9</v>
      </c>
      <c r="F2" t="s">
        <v>65</v>
      </c>
      <c r="G2" t="s">
        <v>66</v>
      </c>
      <c r="H2" s="2">
        <v>900000</v>
      </c>
      <c r="I2" t="s">
        <v>67</v>
      </c>
      <c r="K2" t="s">
        <v>68</v>
      </c>
    </row>
    <row r="3" spans="1:26">
      <c r="A3" t="s">
        <v>69</v>
      </c>
      <c r="B3" t="s">
        <v>70</v>
      </c>
      <c r="C3" t="s">
        <v>10</v>
      </c>
      <c r="D3" s="1">
        <v>100</v>
      </c>
      <c r="E3" t="s">
        <v>9</v>
      </c>
      <c r="F3" t="s">
        <v>65</v>
      </c>
      <c r="G3" t="s">
        <v>71</v>
      </c>
      <c r="H3" s="2">
        <v>1200000</v>
      </c>
      <c r="I3" t="s">
        <v>72</v>
      </c>
      <c r="K3" t="s">
        <v>68</v>
      </c>
    </row>
    <row r="4" spans="1:26">
      <c r="A4" t="s">
        <v>73</v>
      </c>
      <c r="B4" t="s">
        <v>74</v>
      </c>
      <c r="C4" t="s">
        <v>10</v>
      </c>
      <c r="D4" s="1">
        <v>100</v>
      </c>
      <c r="E4" t="s">
        <v>9</v>
      </c>
      <c r="F4" t="s">
        <v>65</v>
      </c>
      <c r="G4" t="s">
        <v>47</v>
      </c>
      <c r="H4" s="2">
        <v>700000</v>
      </c>
      <c r="I4" t="s">
        <v>67</v>
      </c>
      <c r="K4" t="s">
        <v>68</v>
      </c>
    </row>
    <row r="5" spans="1:26">
      <c r="A5" t="s">
        <v>75</v>
      </c>
      <c r="B5" t="s">
        <v>76</v>
      </c>
      <c r="C5" t="s">
        <v>10</v>
      </c>
      <c r="D5" s="1">
        <v>100</v>
      </c>
      <c r="E5" t="s">
        <v>9</v>
      </c>
      <c r="F5" t="s">
        <v>65</v>
      </c>
      <c r="G5" t="s">
        <v>77</v>
      </c>
      <c r="H5" s="2">
        <v>1200000</v>
      </c>
      <c r="I5" t="s">
        <v>78</v>
      </c>
      <c r="K5" t="s">
        <v>68</v>
      </c>
    </row>
    <row r="6" spans="1:26">
      <c r="A6" t="s">
        <v>79</v>
      </c>
      <c r="B6" t="s">
        <v>80</v>
      </c>
      <c r="C6" t="s">
        <v>18</v>
      </c>
      <c r="D6" s="1">
        <v>100</v>
      </c>
      <c r="E6" t="s">
        <v>9</v>
      </c>
      <c r="F6" t="s">
        <v>65</v>
      </c>
      <c r="G6" t="s">
        <v>50</v>
      </c>
      <c r="H6" s="2">
        <v>800000</v>
      </c>
      <c r="I6" t="s">
        <v>81</v>
      </c>
      <c r="K6" t="s">
        <v>68</v>
      </c>
    </row>
    <row r="7" spans="1:26">
      <c r="A7" t="s">
        <v>82</v>
      </c>
      <c r="B7" t="s">
        <v>83</v>
      </c>
      <c r="C7" t="s">
        <v>10</v>
      </c>
      <c r="D7" s="1">
        <v>100</v>
      </c>
      <c r="E7" t="s">
        <v>9</v>
      </c>
      <c r="F7" t="s">
        <v>65</v>
      </c>
      <c r="G7" t="s">
        <v>84</v>
      </c>
      <c r="H7" s="2">
        <v>700000</v>
      </c>
      <c r="I7" t="s">
        <v>67</v>
      </c>
      <c r="K7" t="s">
        <v>68</v>
      </c>
    </row>
    <row r="8" spans="1:26">
      <c r="A8" t="s">
        <v>85</v>
      </c>
      <c r="B8" t="s">
        <v>86</v>
      </c>
      <c r="C8" t="s">
        <v>18</v>
      </c>
      <c r="D8" s="1">
        <v>100</v>
      </c>
      <c r="E8" t="s">
        <v>9</v>
      </c>
      <c r="F8" t="s">
        <v>65</v>
      </c>
      <c r="G8" t="s">
        <v>87</v>
      </c>
      <c r="H8" s="2">
        <v>1000000</v>
      </c>
      <c r="I8" t="s">
        <v>88</v>
      </c>
      <c r="K8" t="s">
        <v>68</v>
      </c>
    </row>
    <row r="9" spans="1:26">
      <c r="A9" t="s">
        <v>89</v>
      </c>
      <c r="B9" t="s">
        <v>70</v>
      </c>
      <c r="C9" t="s">
        <v>10</v>
      </c>
      <c r="D9" s="1">
        <v>100</v>
      </c>
      <c r="E9" t="s">
        <v>9</v>
      </c>
      <c r="F9" t="s">
        <v>65</v>
      </c>
      <c r="G9" t="s">
        <v>87</v>
      </c>
      <c r="H9" s="2">
        <v>3500000</v>
      </c>
      <c r="I9" t="s">
        <v>78</v>
      </c>
      <c r="K9" t="s">
        <v>68</v>
      </c>
    </row>
    <row r="10" spans="1:26">
      <c r="A10" t="s">
        <v>90</v>
      </c>
      <c r="B10" t="s">
        <v>91</v>
      </c>
      <c r="C10" t="s">
        <v>18</v>
      </c>
      <c r="D10" s="1">
        <v>100</v>
      </c>
      <c r="E10" t="s">
        <v>9</v>
      </c>
      <c r="F10" t="s">
        <v>65</v>
      </c>
      <c r="G10" t="s">
        <v>92</v>
      </c>
      <c r="H10" s="2">
        <v>1500000</v>
      </c>
      <c r="I10" t="s">
        <v>88</v>
      </c>
      <c r="K10" t="s">
        <v>68</v>
      </c>
    </row>
    <row r="11" spans="1:26">
      <c r="A11" t="s">
        <v>93</v>
      </c>
      <c r="B11" t="s">
        <v>94</v>
      </c>
      <c r="C11" t="s">
        <v>18</v>
      </c>
      <c r="D11" s="1">
        <v>100</v>
      </c>
      <c r="E11" t="s">
        <v>9</v>
      </c>
      <c r="F11" t="s">
        <v>65</v>
      </c>
      <c r="G11" t="s">
        <v>95</v>
      </c>
      <c r="H11" s="2">
        <v>300000</v>
      </c>
      <c r="I11" t="s">
        <v>81</v>
      </c>
      <c r="K11" t="s">
        <v>68</v>
      </c>
    </row>
    <row r="12" spans="1:26">
      <c r="A12" t="s">
        <v>96</v>
      </c>
      <c r="B12" t="s">
        <v>97</v>
      </c>
      <c r="C12" t="s">
        <v>14</v>
      </c>
      <c r="D12" s="1">
        <v>100</v>
      </c>
      <c r="E12" t="s">
        <v>9</v>
      </c>
      <c r="F12" t="s">
        <v>65</v>
      </c>
      <c r="G12" t="s">
        <v>45</v>
      </c>
      <c r="H12" s="2">
        <v>4000</v>
      </c>
      <c r="I12" t="s">
        <v>78</v>
      </c>
      <c r="K12" t="s">
        <v>68</v>
      </c>
    </row>
    <row r="13" spans="1:26">
      <c r="A13" t="s">
        <v>98</v>
      </c>
      <c r="B13" t="s">
        <v>99</v>
      </c>
      <c r="C13" t="s">
        <v>14</v>
      </c>
      <c r="D13" s="1">
        <v>100</v>
      </c>
      <c r="E13" t="s">
        <v>9</v>
      </c>
      <c r="F13" t="s">
        <v>65</v>
      </c>
      <c r="G13" t="s">
        <v>48</v>
      </c>
      <c r="H13" s="2">
        <v>6000</v>
      </c>
      <c r="I13" t="s">
        <v>72</v>
      </c>
      <c r="K13" t="s">
        <v>68</v>
      </c>
    </row>
    <row r="14" spans="1:26">
      <c r="A14" t="s">
        <v>100</v>
      </c>
      <c r="B14" t="s">
        <v>101</v>
      </c>
      <c r="C14" t="s">
        <v>10</v>
      </c>
      <c r="D14" s="1">
        <v>100</v>
      </c>
      <c r="E14" t="s">
        <v>9</v>
      </c>
      <c r="F14" t="s">
        <v>65</v>
      </c>
      <c r="G14" t="s">
        <v>102</v>
      </c>
      <c r="H14" s="2">
        <v>1800000</v>
      </c>
      <c r="I14" t="s">
        <v>72</v>
      </c>
      <c r="K14" t="s">
        <v>68</v>
      </c>
    </row>
    <row r="15" spans="1:26">
      <c r="A15" t="s">
        <v>103</v>
      </c>
      <c r="B15" t="s">
        <v>104</v>
      </c>
      <c r="C15" t="s">
        <v>10</v>
      </c>
      <c r="D15" s="1">
        <v>100</v>
      </c>
      <c r="E15" t="s">
        <v>9</v>
      </c>
      <c r="F15" t="s">
        <v>65</v>
      </c>
      <c r="G15" t="s">
        <v>105</v>
      </c>
      <c r="H15" s="2">
        <v>3500000</v>
      </c>
      <c r="I15" t="s">
        <v>72</v>
      </c>
      <c r="K15" t="s">
        <v>68</v>
      </c>
    </row>
    <row r="16" spans="1:26">
      <c r="A16" t="s">
        <v>106</v>
      </c>
      <c r="B16" t="s">
        <v>80</v>
      </c>
      <c r="C16" t="s">
        <v>10</v>
      </c>
      <c r="D16" s="1">
        <v>100</v>
      </c>
      <c r="E16" t="s">
        <v>9</v>
      </c>
      <c r="F16" t="s">
        <v>65</v>
      </c>
      <c r="G16" t="s">
        <v>107</v>
      </c>
      <c r="H16" s="2">
        <v>700000</v>
      </c>
      <c r="I16" t="s">
        <v>78</v>
      </c>
      <c r="K16" t="s">
        <v>68</v>
      </c>
    </row>
    <row r="17" spans="1:11">
      <c r="A17" t="s">
        <v>108</v>
      </c>
      <c r="B17" t="s">
        <v>109</v>
      </c>
      <c r="C17" t="s">
        <v>14</v>
      </c>
      <c r="D17" s="1">
        <v>100</v>
      </c>
      <c r="E17" t="s">
        <v>9</v>
      </c>
      <c r="F17" t="s">
        <v>65</v>
      </c>
      <c r="G17" t="s">
        <v>110</v>
      </c>
      <c r="H17" s="2">
        <v>4000</v>
      </c>
      <c r="I17" t="s">
        <v>78</v>
      </c>
      <c r="K17" t="s">
        <v>68</v>
      </c>
    </row>
    <row r="18" spans="1:11">
      <c r="A18" t="s">
        <v>111</v>
      </c>
      <c r="B18" t="s">
        <v>104</v>
      </c>
      <c r="C18" t="s">
        <v>18</v>
      </c>
      <c r="D18" s="1">
        <v>100</v>
      </c>
      <c r="E18" t="s">
        <v>9</v>
      </c>
      <c r="F18" t="s">
        <v>65</v>
      </c>
      <c r="G18" t="s">
        <v>48</v>
      </c>
      <c r="H18" s="2">
        <v>600000</v>
      </c>
      <c r="I18" t="s">
        <v>88</v>
      </c>
      <c r="K18" t="s">
        <v>68</v>
      </c>
    </row>
    <row r="19" spans="1:11">
      <c r="A19" t="s">
        <v>112</v>
      </c>
      <c r="B19" t="s">
        <v>113</v>
      </c>
      <c r="C19" t="s">
        <v>10</v>
      </c>
      <c r="D19" s="1">
        <v>100</v>
      </c>
      <c r="E19" t="s">
        <v>9</v>
      </c>
      <c r="F19" t="s">
        <v>65</v>
      </c>
      <c r="G19" t="s">
        <v>43</v>
      </c>
      <c r="H19" s="2">
        <v>3500000</v>
      </c>
      <c r="I19" t="s">
        <v>78</v>
      </c>
      <c r="K19" t="s">
        <v>68</v>
      </c>
    </row>
    <row r="20" spans="1:11">
      <c r="A20" t="s">
        <v>114</v>
      </c>
      <c r="B20" t="s">
        <v>115</v>
      </c>
      <c r="C20" t="s">
        <v>18</v>
      </c>
      <c r="D20" s="1">
        <v>97</v>
      </c>
      <c r="E20" t="s">
        <v>9</v>
      </c>
      <c r="F20" t="s">
        <v>116</v>
      </c>
      <c r="G20" t="s">
        <v>117</v>
      </c>
      <c r="H20" s="2">
        <v>300000</v>
      </c>
      <c r="I20" t="s">
        <v>88</v>
      </c>
      <c r="K20" t="s">
        <v>68</v>
      </c>
    </row>
    <row r="21" spans="1:11">
      <c r="A21" t="s">
        <v>118</v>
      </c>
      <c r="B21" t="s">
        <v>119</v>
      </c>
      <c r="C21" t="s">
        <v>18</v>
      </c>
      <c r="D21" s="1">
        <v>97</v>
      </c>
      <c r="E21" t="s">
        <v>9</v>
      </c>
      <c r="F21" t="s">
        <v>116</v>
      </c>
      <c r="G21" t="s">
        <v>120</v>
      </c>
      <c r="H21" s="2">
        <v>3500000</v>
      </c>
      <c r="I21" t="s">
        <v>88</v>
      </c>
      <c r="K21" t="s">
        <v>68</v>
      </c>
    </row>
    <row r="22" spans="1:11">
      <c r="A22" t="s">
        <v>121</v>
      </c>
      <c r="B22" t="s">
        <v>115</v>
      </c>
      <c r="C22" t="s">
        <v>18</v>
      </c>
      <c r="D22" s="1">
        <v>97</v>
      </c>
      <c r="E22" t="s">
        <v>9</v>
      </c>
      <c r="F22" t="s">
        <v>116</v>
      </c>
      <c r="G22" t="s">
        <v>120</v>
      </c>
      <c r="H22" s="2">
        <v>450000</v>
      </c>
      <c r="I22" t="s">
        <v>78</v>
      </c>
      <c r="K22" t="s">
        <v>68</v>
      </c>
    </row>
    <row r="23" spans="1:11">
      <c r="A23" t="s">
        <v>122</v>
      </c>
      <c r="B23" t="s">
        <v>123</v>
      </c>
      <c r="C23" t="s">
        <v>18</v>
      </c>
      <c r="D23" s="1">
        <v>97</v>
      </c>
      <c r="E23" t="s">
        <v>9</v>
      </c>
      <c r="F23" t="s">
        <v>116</v>
      </c>
      <c r="G23" t="s">
        <v>120</v>
      </c>
      <c r="H23" s="2">
        <v>800000</v>
      </c>
      <c r="I23" t="s">
        <v>88</v>
      </c>
      <c r="K23" t="s">
        <v>68</v>
      </c>
    </row>
    <row r="24" spans="1:11">
      <c r="A24" t="s">
        <v>124</v>
      </c>
      <c r="B24" t="s">
        <v>94</v>
      </c>
      <c r="C24" t="s">
        <v>18</v>
      </c>
      <c r="D24" s="1">
        <v>97</v>
      </c>
      <c r="E24" t="s">
        <v>9</v>
      </c>
      <c r="F24" t="s">
        <v>116</v>
      </c>
      <c r="G24" t="s">
        <v>125</v>
      </c>
      <c r="H24" s="2">
        <v>800000</v>
      </c>
      <c r="I24" t="s">
        <v>81</v>
      </c>
      <c r="K24" t="s">
        <v>68</v>
      </c>
    </row>
    <row r="25" spans="1:11">
      <c r="A25" t="s">
        <v>126</v>
      </c>
      <c r="B25" t="s">
        <v>127</v>
      </c>
      <c r="C25" t="s">
        <v>18</v>
      </c>
      <c r="D25" s="1">
        <v>97</v>
      </c>
      <c r="E25" t="s">
        <v>9</v>
      </c>
      <c r="F25" t="s">
        <v>116</v>
      </c>
      <c r="G25" t="s">
        <v>48</v>
      </c>
      <c r="H25" s="2">
        <v>300000</v>
      </c>
      <c r="I25" t="s">
        <v>81</v>
      </c>
      <c r="K25" t="s">
        <v>68</v>
      </c>
    </row>
    <row r="26" spans="1:11">
      <c r="A26" t="s">
        <v>128</v>
      </c>
      <c r="B26" t="s">
        <v>129</v>
      </c>
      <c r="C26" t="s">
        <v>18</v>
      </c>
      <c r="D26" s="1">
        <v>97</v>
      </c>
      <c r="E26" t="s">
        <v>9</v>
      </c>
      <c r="F26" t="s">
        <v>116</v>
      </c>
      <c r="G26" t="s">
        <v>48</v>
      </c>
      <c r="H26" s="2">
        <v>1500000</v>
      </c>
      <c r="I26" t="s">
        <v>88</v>
      </c>
      <c r="K26" t="s">
        <v>68</v>
      </c>
    </row>
    <row r="27" spans="1:11">
      <c r="D27" s="1"/>
      <c r="H27" s="2"/>
    </row>
    <row r="28" spans="1:11">
      <c r="D28" s="1"/>
      <c r="H28" s="2"/>
    </row>
    <row r="29" spans="1:11">
      <c r="D29" s="1"/>
      <c r="H29" s="2"/>
    </row>
    <row r="30" spans="1:11">
      <c r="D30" s="1"/>
      <c r="H3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workbookViewId="0">
      <selection activeCell="D1" sqref="D1:E1"/>
    </sheetView>
  </sheetViews>
  <sheetFormatPr defaultRowHeight="14.25"/>
  <cols>
    <col min="1" max="5" width="22" customWidth="1"/>
  </cols>
  <sheetData>
    <row r="1" spans="1:26" ht="15">
      <c r="A1" s="13" t="s">
        <v>130</v>
      </c>
      <c r="B1" s="13" t="s">
        <v>5</v>
      </c>
      <c r="C1" s="3"/>
      <c r="D1" s="13" t="s">
        <v>131</v>
      </c>
      <c r="E1" s="13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132</v>
      </c>
      <c r="B2">
        <v>81</v>
      </c>
      <c r="D2" t="s">
        <v>133</v>
      </c>
      <c r="E2">
        <v>151</v>
      </c>
    </row>
    <row r="3" spans="1:26">
      <c r="A3" t="s">
        <v>134</v>
      </c>
      <c r="B3">
        <v>57</v>
      </c>
      <c r="D3" t="s">
        <v>135</v>
      </c>
      <c r="E3">
        <v>32</v>
      </c>
    </row>
    <row r="4" spans="1:26">
      <c r="A4" t="s">
        <v>136</v>
      </c>
      <c r="B4">
        <v>23</v>
      </c>
    </row>
    <row r="5" spans="1:26">
      <c r="A5" t="s">
        <v>137</v>
      </c>
      <c r="B5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1"/>
  <sheetViews>
    <sheetView workbookViewId="0">
      <selection activeCell="B27" activeCellId="3" sqref="A1:B1 A7:B7 A15:B15 A27:B27"/>
    </sheetView>
  </sheetViews>
  <sheetFormatPr defaultRowHeight="14.25"/>
  <cols>
    <col min="1" max="1" width="30" customWidth="1"/>
    <col min="2" max="2" width="14" customWidth="1"/>
  </cols>
  <sheetData>
    <row r="1" spans="1:26" ht="15">
      <c r="A1" s="13" t="s">
        <v>138</v>
      </c>
      <c r="B1" s="13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116</v>
      </c>
      <c r="B2">
        <v>233</v>
      </c>
    </row>
    <row r="3" spans="1:26">
      <c r="A3" t="s">
        <v>65</v>
      </c>
      <c r="B3">
        <v>164</v>
      </c>
    </row>
    <row r="4" spans="1:26">
      <c r="A4" t="s">
        <v>139</v>
      </c>
      <c r="B4">
        <v>128</v>
      </c>
    </row>
    <row r="7" spans="1:26" ht="15">
      <c r="A7" s="14" t="s">
        <v>140</v>
      </c>
      <c r="B7" s="14" t="s">
        <v>5</v>
      </c>
    </row>
    <row r="8" spans="1:26">
      <c r="A8" t="s">
        <v>141</v>
      </c>
      <c r="B8">
        <v>128</v>
      </c>
    </row>
    <row r="9" spans="1:26">
      <c r="A9" t="s">
        <v>142</v>
      </c>
      <c r="B9">
        <v>128</v>
      </c>
    </row>
    <row r="10" spans="1:26">
      <c r="A10" t="s">
        <v>143</v>
      </c>
      <c r="B10">
        <v>126</v>
      </c>
    </row>
    <row r="11" spans="1:26">
      <c r="A11" t="s">
        <v>144</v>
      </c>
      <c r="B11">
        <v>112</v>
      </c>
    </row>
    <row r="12" spans="1:26">
      <c r="A12" t="s">
        <v>145</v>
      </c>
      <c r="B12">
        <v>106</v>
      </c>
    </row>
    <row r="15" spans="1:26" ht="15">
      <c r="A15" s="14" t="s">
        <v>146</v>
      </c>
      <c r="B15" s="14" t="s">
        <v>5</v>
      </c>
    </row>
    <row r="16" spans="1:26">
      <c r="A16" t="s">
        <v>147</v>
      </c>
      <c r="B16">
        <v>134</v>
      </c>
    </row>
    <row r="17" spans="1:2">
      <c r="A17" t="s">
        <v>148</v>
      </c>
      <c r="B17">
        <v>125</v>
      </c>
    </row>
    <row r="18" spans="1:2">
      <c r="A18" t="s">
        <v>78</v>
      </c>
      <c r="B18">
        <v>114</v>
      </c>
    </row>
    <row r="19" spans="1:2">
      <c r="A19" t="s">
        <v>149</v>
      </c>
      <c r="B19">
        <v>86</v>
      </c>
    </row>
    <row r="20" spans="1:2">
      <c r="A20" t="s">
        <v>72</v>
      </c>
      <c r="B20">
        <v>55</v>
      </c>
    </row>
    <row r="21" spans="1:2">
      <c r="A21" t="s">
        <v>67</v>
      </c>
      <c r="B21">
        <v>49</v>
      </c>
    </row>
    <row r="22" spans="1:2">
      <c r="A22" t="s">
        <v>88</v>
      </c>
      <c r="B22">
        <v>15</v>
      </c>
    </row>
    <row r="23" spans="1:2">
      <c r="A23" t="s">
        <v>150</v>
      </c>
      <c r="B23">
        <v>14</v>
      </c>
    </row>
    <row r="24" spans="1:2">
      <c r="A24" t="s">
        <v>81</v>
      </c>
      <c r="B24">
        <v>8</v>
      </c>
    </row>
    <row r="27" spans="1:2" ht="15">
      <c r="A27" s="14" t="s">
        <v>151</v>
      </c>
      <c r="B27" s="14" t="s">
        <v>5</v>
      </c>
    </row>
    <row r="28" spans="1:2">
      <c r="A28" t="s">
        <v>152</v>
      </c>
      <c r="B28">
        <v>131</v>
      </c>
    </row>
    <row r="29" spans="1:2">
      <c r="A29" t="s">
        <v>153</v>
      </c>
      <c r="B29">
        <v>128</v>
      </c>
    </row>
    <row r="30" spans="1:2">
      <c r="A30" t="s">
        <v>154</v>
      </c>
      <c r="B30">
        <v>123</v>
      </c>
    </row>
    <row r="31" spans="1:2">
      <c r="A31" t="s">
        <v>155</v>
      </c>
      <c r="B31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>
      <selection activeCell="B22" sqref="B22"/>
    </sheetView>
  </sheetViews>
  <sheetFormatPr defaultRowHeight="14.25"/>
  <cols>
    <col min="1" max="1" width="15" bestFit="1" customWidth="1"/>
    <col min="2" max="2" width="57.75" bestFit="1" customWidth="1"/>
  </cols>
  <sheetData>
    <row r="1" spans="1:26" ht="15">
      <c r="A1" s="13" t="s">
        <v>1</v>
      </c>
      <c r="B1" s="13" t="s">
        <v>156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7</v>
      </c>
      <c r="B2" s="6" t="s">
        <v>157</v>
      </c>
    </row>
    <row r="3" spans="1:26">
      <c r="A3" s="7" t="s">
        <v>4</v>
      </c>
      <c r="B3" s="8" t="s">
        <v>158</v>
      </c>
    </row>
    <row r="4" spans="1:26">
      <c r="A4" s="5" t="s">
        <v>6</v>
      </c>
      <c r="B4" s="6" t="s">
        <v>159</v>
      </c>
    </row>
    <row r="5" spans="1:26">
      <c r="A5" s="7" t="s">
        <v>22</v>
      </c>
      <c r="B5" s="8" t="s">
        <v>160</v>
      </c>
    </row>
    <row r="6" spans="1:26">
      <c r="A6" s="5" t="s">
        <v>161</v>
      </c>
      <c r="B6" s="6" t="s">
        <v>162</v>
      </c>
    </row>
    <row r="7" spans="1:26">
      <c r="A7" s="7" t="s">
        <v>163</v>
      </c>
      <c r="B7" s="8" t="s">
        <v>164</v>
      </c>
    </row>
    <row r="8" spans="1:26">
      <c r="A8" s="5" t="s">
        <v>18</v>
      </c>
      <c r="B8" s="6" t="s">
        <v>165</v>
      </c>
    </row>
    <row r="9" spans="1:26">
      <c r="A9" s="7" t="s">
        <v>166</v>
      </c>
      <c r="B9" s="8" t="s">
        <v>167</v>
      </c>
    </row>
    <row r="10" spans="1:26">
      <c r="A10" s="5" t="s">
        <v>148</v>
      </c>
      <c r="B10" s="6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A2" sqref="A2:B3"/>
    </sheetView>
  </sheetViews>
  <sheetFormatPr defaultRowHeight="14.25"/>
  <cols>
    <col min="1" max="1" width="34.875" bestFit="1" customWidth="1"/>
    <col min="2" max="2" width="65" customWidth="1"/>
    <col min="3" max="3" width="48.375" bestFit="1" customWidth="1"/>
  </cols>
  <sheetData>
    <row r="1" spans="1:3" ht="15">
      <c r="A1" s="12" t="s">
        <v>169</v>
      </c>
      <c r="B1" s="12" t="s">
        <v>170</v>
      </c>
      <c r="C1" s="12" t="s">
        <v>171</v>
      </c>
    </row>
    <row r="2" spans="1:3">
      <c r="A2" t="s">
        <v>172</v>
      </c>
      <c r="B2" t="s">
        <v>173</v>
      </c>
      <c r="C2" t="s">
        <v>174</v>
      </c>
    </row>
    <row r="3" spans="1:3">
      <c r="A3" t="s">
        <v>175</v>
      </c>
      <c r="B3" t="s">
        <v>176</v>
      </c>
      <c r="C3" t="s">
        <v>177</v>
      </c>
    </row>
    <row r="4" spans="1:3">
      <c r="A4" t="s">
        <v>178</v>
      </c>
      <c r="B4" t="s">
        <v>179</v>
      </c>
      <c r="C4" t="s">
        <v>180</v>
      </c>
    </row>
    <row r="5" spans="1:3">
      <c r="A5" t="s">
        <v>181</v>
      </c>
      <c r="B5" t="s">
        <v>182</v>
      </c>
      <c r="C5" t="s">
        <v>183</v>
      </c>
    </row>
    <row r="6" spans="1:3">
      <c r="A6" t="s">
        <v>184</v>
      </c>
      <c r="B6" t="s">
        <v>185</v>
      </c>
      <c r="C6" t="s">
        <v>186</v>
      </c>
    </row>
    <row r="7" spans="1:3">
      <c r="A7" t="s">
        <v>187</v>
      </c>
      <c r="B7" t="s">
        <v>188</v>
      </c>
      <c r="C7" t="s">
        <v>189</v>
      </c>
    </row>
    <row r="8" spans="1:3">
      <c r="A8" t="s">
        <v>190</v>
      </c>
      <c r="B8" t="s">
        <v>191</v>
      </c>
      <c r="C8" t="s">
        <v>192</v>
      </c>
    </row>
    <row r="9" spans="1:3">
      <c r="A9" t="s">
        <v>193</v>
      </c>
      <c r="B9" t="s">
        <v>194</v>
      </c>
      <c r="C9" t="s">
        <v>195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tabSelected="1" workbookViewId="0">
      <selection activeCell="F25" sqref="F25"/>
    </sheetView>
  </sheetViews>
  <sheetFormatPr defaultRowHeight="14.25"/>
  <cols>
    <col min="1" max="1" width="48" customWidth="1"/>
    <col min="2" max="4" width="16" customWidth="1"/>
  </cols>
  <sheetData>
    <row r="1" spans="1:4" ht="15">
      <c r="A1" s="12" t="s">
        <v>196</v>
      </c>
      <c r="B1" s="12" t="s">
        <v>197</v>
      </c>
      <c r="C1" s="12" t="s">
        <v>198</v>
      </c>
      <c r="D1" s="12" t="s">
        <v>130</v>
      </c>
    </row>
    <row r="2" spans="1:4">
      <c r="A2" t="s">
        <v>199</v>
      </c>
      <c r="B2" s="10">
        <v>600</v>
      </c>
      <c r="C2" s="10">
        <v>600</v>
      </c>
      <c r="D2" s="11" t="s">
        <v>200</v>
      </c>
    </row>
    <row r="3" spans="1:4">
      <c r="A3" t="s">
        <v>201</v>
      </c>
      <c r="B3" s="10">
        <v>500</v>
      </c>
      <c r="C3" s="10">
        <v>500</v>
      </c>
      <c r="D3" s="11" t="s">
        <v>200</v>
      </c>
    </row>
    <row r="4" spans="1:4">
      <c r="A4" t="s">
        <v>202</v>
      </c>
      <c r="B4" s="10">
        <v>183</v>
      </c>
      <c r="C4" s="10">
        <v>183</v>
      </c>
      <c r="D4" s="11" t="s">
        <v>200</v>
      </c>
    </row>
    <row r="5" spans="1:4">
      <c r="A5" t="s">
        <v>203</v>
      </c>
      <c r="B5" s="10">
        <v>2088</v>
      </c>
      <c r="C5" s="10">
        <v>2088</v>
      </c>
      <c r="D5" s="11" t="s">
        <v>200</v>
      </c>
    </row>
    <row r="6" spans="1:4">
      <c r="A6" t="s">
        <v>204</v>
      </c>
      <c r="B6" s="10">
        <v>183</v>
      </c>
      <c r="C6" s="10">
        <v>183</v>
      </c>
      <c r="D6" s="11" t="s">
        <v>200</v>
      </c>
    </row>
    <row r="7" spans="1:4">
      <c r="A7" t="s">
        <v>205</v>
      </c>
      <c r="B7" s="10">
        <v>149</v>
      </c>
      <c r="C7" s="10">
        <v>149</v>
      </c>
      <c r="D7" s="11" t="s">
        <v>200</v>
      </c>
    </row>
    <row r="8" spans="1:4">
      <c r="A8" t="s">
        <v>206</v>
      </c>
      <c r="B8" s="10">
        <v>2088</v>
      </c>
      <c r="C8" s="10">
        <v>2088</v>
      </c>
      <c r="D8" s="11" t="s">
        <v>200</v>
      </c>
    </row>
    <row r="9" spans="1:4">
      <c r="A9" t="s">
        <v>207</v>
      </c>
      <c r="B9" s="10">
        <v>183</v>
      </c>
      <c r="C9" s="10">
        <v>183</v>
      </c>
      <c r="D9" s="11" t="s">
        <v>200</v>
      </c>
    </row>
    <row r="10" spans="1:4">
      <c r="A10" t="s">
        <v>208</v>
      </c>
      <c r="B10" s="10">
        <v>0</v>
      </c>
      <c r="C10" s="10">
        <v>0</v>
      </c>
      <c r="D10" s="11" t="s">
        <v>200</v>
      </c>
    </row>
  </sheetData>
  <conditionalFormatting sqref="D2:D10">
    <cfRule type="expression" dxfId="9" priority="1">
      <formula>D2="OK"</formula>
    </cfRule>
    <cfRule type="expression" dxfId="8" priority="2">
      <formula>D2="REVISAR"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Top_Regioes</vt:lpstr>
      <vt:lpstr>Leads_Prioritarios</vt:lpstr>
      <vt:lpstr>Agendamentos</vt:lpstr>
      <vt:lpstr>Distribuicoes</vt:lpstr>
      <vt:lpstr>Guia_Validacao</vt:lpstr>
      <vt:lpstr>Aderencia_Desafio</vt:lpstr>
      <vt:lpstr>Integridade_Dados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Otávia</cp:lastModifiedBy>
  <dcterms:modified xsi:type="dcterms:W3CDTF">2026-09-26T21:41:16Z</dcterms:modified>
</cp:coreProperties>
</file>